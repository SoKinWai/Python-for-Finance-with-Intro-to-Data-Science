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X:\Accounting and Finance\Finance\Administration\Regulatory\OCC Onsite\May 2024\Tabletop Liquidity\"/>
    </mc:Choice>
  </mc:AlternateContent>
  <xr:revisionPtr revIDLastSave="0" documentId="8_{3B49FA33-4C7E-442F-8346-F1B711D67EC3}" xr6:coauthVersionLast="47" xr6:coauthVersionMax="47" xr10:uidLastSave="{00000000-0000-0000-0000-000000000000}"/>
  <bookViews>
    <workbookView xWindow="28680" yWindow="-120" windowWidth="29040" windowHeight="17640" activeTab="2" xr2:uid="{872E52FB-6B4B-4AC9-A159-5EC960984BEC}"/>
  </bookViews>
  <sheets>
    <sheet name="Sheet1" sheetId="1" r:id="rId1"/>
    <sheet name="Updated" sheetId="3" state="hidden" r:id="rId2"/>
    <sheet name="Updated (2)" sheetId="4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4" l="1"/>
  <c r="L21" i="4"/>
  <c r="K21" i="4"/>
  <c r="E21" i="4"/>
  <c r="D21" i="4"/>
  <c r="E19" i="4"/>
  <c r="F19" i="4" s="1"/>
  <c r="D19" i="4"/>
  <c r="E18" i="4"/>
  <c r="D18" i="4"/>
  <c r="J17" i="4"/>
  <c r="E17" i="4"/>
  <c r="F17" i="4" s="1"/>
  <c r="D17" i="4"/>
  <c r="J16" i="4"/>
  <c r="E16" i="4"/>
  <c r="F16" i="4" s="1"/>
  <c r="D16" i="4"/>
  <c r="E14" i="4"/>
  <c r="F14" i="4" s="1"/>
  <c r="D14" i="4"/>
  <c r="D13" i="4"/>
  <c r="L12" i="4"/>
  <c r="K12" i="4"/>
  <c r="I11" i="4"/>
  <c r="H11" i="4"/>
  <c r="H12" i="4" s="1"/>
  <c r="E11" i="4"/>
  <c r="D11" i="4"/>
  <c r="I10" i="4"/>
  <c r="E10" i="4" s="1"/>
  <c r="H10" i="4"/>
  <c r="D10" i="4" s="1"/>
  <c r="E9" i="4"/>
  <c r="F9" i="4" s="1"/>
  <c r="D9" i="4"/>
  <c r="E8" i="4"/>
  <c r="D8" i="4"/>
  <c r="E7" i="4"/>
  <c r="D7" i="4"/>
  <c r="N6" i="4"/>
  <c r="L6" i="4"/>
  <c r="K6" i="4"/>
  <c r="J6" i="4"/>
  <c r="E6" i="4"/>
  <c r="F6" i="4" s="1"/>
  <c r="D6" i="4"/>
  <c r="E5" i="4"/>
  <c r="F5" i="4" s="1"/>
  <c r="D5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1" i="4" s="1"/>
  <c r="B22" i="4" s="1"/>
  <c r="B23" i="4" s="1"/>
  <c r="B22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3" i="3" s="1"/>
  <c r="B24" i="3" s="1"/>
  <c r="E22" i="3"/>
  <c r="D22" i="3"/>
  <c r="E19" i="3"/>
  <c r="D19" i="3"/>
  <c r="F19" i="3" s="1"/>
  <c r="K6" i="3"/>
  <c r="E18" i="3"/>
  <c r="D18" i="3"/>
  <c r="E17" i="3"/>
  <c r="D17" i="3"/>
  <c r="E16" i="3"/>
  <c r="F16" i="3" s="1"/>
  <c r="D16" i="3"/>
  <c r="J17" i="3"/>
  <c r="J16" i="3"/>
  <c r="E14" i="3"/>
  <c r="D14" i="3"/>
  <c r="D13" i="3"/>
  <c r="E9" i="3"/>
  <c r="D9" i="3"/>
  <c r="E8" i="3"/>
  <c r="D8" i="3"/>
  <c r="E7" i="3"/>
  <c r="D7" i="3"/>
  <c r="N6" i="3"/>
  <c r="L6" i="3"/>
  <c r="E5" i="3"/>
  <c r="D5" i="3"/>
  <c r="L22" i="3"/>
  <c r="K22" i="3"/>
  <c r="L12" i="3"/>
  <c r="K12" i="3"/>
  <c r="I11" i="3"/>
  <c r="E11" i="3" s="1"/>
  <c r="H11" i="3"/>
  <c r="D11" i="3" s="1"/>
  <c r="I10" i="3"/>
  <c r="E10" i="3" s="1"/>
  <c r="H10" i="3"/>
  <c r="D10" i="3" s="1"/>
  <c r="E6" i="3"/>
  <c r="J6" i="3"/>
  <c r="J24" i="1"/>
  <c r="J30" i="1"/>
  <c r="J29" i="1"/>
  <c r="J28" i="1"/>
  <c r="E5" i="1"/>
  <c r="M32" i="1"/>
  <c r="L31" i="1"/>
  <c r="K31" i="1"/>
  <c r="L24" i="1"/>
  <c r="K24" i="1"/>
  <c r="K30" i="1"/>
  <c r="L30" i="1"/>
  <c r="L32" i="1" s="1"/>
  <c r="I29" i="1"/>
  <c r="F24" i="1"/>
  <c r="E24" i="1"/>
  <c r="D24" i="1"/>
  <c r="F22" i="1"/>
  <c r="E22" i="1"/>
  <c r="D22" i="1"/>
  <c r="L6" i="1"/>
  <c r="K6" i="1"/>
  <c r="J6" i="1"/>
  <c r="M6" i="1"/>
  <c r="N6" i="1"/>
  <c r="H5" i="1"/>
  <c r="H8" i="1" s="1"/>
  <c r="I28" i="1"/>
  <c r="F32" i="1"/>
  <c r="H28" i="1"/>
  <c r="H30" i="1" s="1"/>
  <c r="H32" i="1" s="1"/>
  <c r="H29" i="1"/>
  <c r="F21" i="4" l="1"/>
  <c r="F11" i="4"/>
  <c r="E12" i="4"/>
  <c r="F12" i="4" s="1"/>
  <c r="M6" i="4"/>
  <c r="O6" i="4" s="1"/>
  <c r="P6" i="4" s="1"/>
  <c r="D12" i="4"/>
  <c r="F8" i="4"/>
  <c r="F18" i="4"/>
  <c r="J11" i="4"/>
  <c r="D23" i="4"/>
  <c r="F10" i="4"/>
  <c r="J10" i="4"/>
  <c r="D22" i="4"/>
  <c r="I12" i="4"/>
  <c r="J12" i="4" s="1"/>
  <c r="E13" i="4" s="1"/>
  <c r="F13" i="4" s="1"/>
  <c r="F7" i="4"/>
  <c r="E23" i="4"/>
  <c r="F23" i="4" s="1"/>
  <c r="F17" i="3"/>
  <c r="F5" i="3"/>
  <c r="E12" i="3"/>
  <c r="F10" i="3"/>
  <c r="D12" i="3"/>
  <c r="F11" i="3"/>
  <c r="F8" i="3"/>
  <c r="F7" i="3"/>
  <c r="F18" i="3"/>
  <c r="F9" i="3"/>
  <c r="F14" i="3"/>
  <c r="D6" i="3"/>
  <c r="M6" i="3"/>
  <c r="F22" i="3"/>
  <c r="J10" i="3"/>
  <c r="H12" i="3"/>
  <c r="J11" i="3"/>
  <c r="I12" i="3"/>
  <c r="K32" i="1"/>
  <c r="O6" i="1"/>
  <c r="I7" i="1" s="1"/>
  <c r="I5" i="1" s="1"/>
  <c r="I30" i="1"/>
  <c r="I32" i="1" s="1"/>
  <c r="E22" i="4" l="1"/>
  <c r="F22" i="4" s="1"/>
  <c r="D24" i="3"/>
  <c r="D23" i="3"/>
  <c r="F6" i="3"/>
  <c r="E24" i="3"/>
  <c r="F12" i="3"/>
  <c r="J12" i="3"/>
  <c r="I13" i="3" s="1"/>
  <c r="E13" i="3" s="1"/>
  <c r="I8" i="1"/>
  <c r="I9" i="1"/>
  <c r="B23" i="1"/>
  <c r="B24" i="1" s="1"/>
  <c r="B25" i="1" s="1"/>
  <c r="B26" i="1" s="1"/>
  <c r="B27" i="1" s="1"/>
  <c r="B28" i="1" s="1"/>
  <c r="B29" i="1" s="1"/>
  <c r="B30" i="1" s="1"/>
  <c r="B31" i="1" s="1"/>
  <c r="B32" i="1" s="1"/>
  <c r="D5" i="1"/>
  <c r="B6" i="1"/>
  <c r="B7" i="1" s="1"/>
  <c r="B8" i="1" s="1"/>
  <c r="B9" i="1" s="1"/>
  <c r="B10" i="1" s="1"/>
  <c r="B11" i="1" s="1"/>
  <c r="B12" i="1" s="1"/>
  <c r="B13" i="1" s="1"/>
  <c r="F24" i="3" l="1"/>
  <c r="F13" i="3"/>
  <c r="E23" i="3"/>
  <c r="F23" i="3" s="1"/>
  <c r="O6" i="3"/>
  <c r="P6" i="3" s="1"/>
  <c r="F5" i="1"/>
  <c r="B14" i="1"/>
  <c r="B15" i="1" s="1"/>
</calcChain>
</file>

<file path=xl/sharedStrings.xml><?xml version="1.0" encoding="utf-8"?>
<sst xmlns="http://schemas.openxmlformats.org/spreadsheetml/2006/main" count="182" uniqueCount="103">
  <si>
    <t>Level I Liquidity (% of total assets)</t>
  </si>
  <si>
    <t>Level I Liquidity</t>
  </si>
  <si>
    <t>Total assets</t>
  </si>
  <si>
    <t>LOC Borrowings (unsecured)</t>
  </si>
  <si>
    <t>FRB</t>
  </si>
  <si>
    <t>FHLB</t>
  </si>
  <si>
    <r>
      <t>T</t>
    </r>
    <r>
      <rPr>
        <b/>
        <vertAlign val="subscript"/>
        <sz val="11"/>
        <color theme="0"/>
        <rFont val="Aptos Narrow"/>
        <family val="2"/>
        <scheme val="minor"/>
      </rPr>
      <t>-1</t>
    </r>
  </si>
  <si>
    <r>
      <t>T</t>
    </r>
    <r>
      <rPr>
        <b/>
        <vertAlign val="subscript"/>
        <sz val="11"/>
        <color theme="0"/>
        <rFont val="Aptos Narrow"/>
        <family val="2"/>
        <scheme val="minor"/>
      </rPr>
      <t>0</t>
    </r>
  </si>
  <si>
    <t>Key Metrics</t>
  </si>
  <si>
    <t>$2.3B</t>
  </si>
  <si>
    <t>$22.4B</t>
  </si>
  <si>
    <t>+$1.2B</t>
  </si>
  <si>
    <t>Buffer over minimum (5% of total assets)</t>
  </si>
  <si>
    <t>$275M</t>
  </si>
  <si>
    <t>Secured Borrowings:</t>
  </si>
  <si>
    <t>-$25M</t>
  </si>
  <si>
    <t>Net Loan Funding (Net payoff)</t>
  </si>
  <si>
    <t>Change</t>
  </si>
  <si>
    <t>Buffer over Yellow alert (7.5% of total assets)</t>
  </si>
  <si>
    <t>NA</t>
  </si>
  <si>
    <t>A</t>
  </si>
  <si>
    <t>B</t>
  </si>
  <si>
    <t>C</t>
  </si>
  <si>
    <r>
      <t>Impact to key metrics as of end of day, T</t>
    </r>
    <r>
      <rPr>
        <b/>
        <vertAlign val="subscript"/>
        <sz val="11"/>
        <color theme="1"/>
        <rFont val="Aptos Narrow"/>
        <family val="2"/>
        <scheme val="minor"/>
      </rPr>
      <t>0</t>
    </r>
    <r>
      <rPr>
        <b/>
        <sz val="11"/>
        <color theme="1"/>
        <rFont val="Aptos Narrow"/>
        <family val="2"/>
        <scheme val="minor"/>
      </rPr>
      <t xml:space="preserve"> (relative to prior day, T</t>
    </r>
    <r>
      <rPr>
        <b/>
        <vertAlign val="sub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>)</t>
    </r>
  </si>
  <si>
    <r>
      <t>Target Liquid Assets / Total Capital</t>
    </r>
    <r>
      <rPr>
        <vertAlign val="super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
</t>
    </r>
    <r>
      <rPr>
        <i/>
        <sz val="11"/>
        <color theme="1"/>
        <rFont val="Aptos Narrow"/>
        <family val="2"/>
        <scheme val="minor"/>
      </rPr>
      <t>(Min for Yellow alert = 130%)</t>
    </r>
  </si>
  <si>
    <t>390M</t>
  </si>
  <si>
    <t>+$275M</t>
  </si>
  <si>
    <t>Cash Reserves</t>
  </si>
  <si>
    <t>Securities</t>
  </si>
  <si>
    <t>$30M</t>
  </si>
  <si>
    <t>HQLA 2</t>
  </si>
  <si>
    <t>HQLA 1</t>
  </si>
  <si>
    <t>$2.33B</t>
  </si>
  <si>
    <t>GSE Loans</t>
  </si>
  <si>
    <t>HFS Loans</t>
  </si>
  <si>
    <t>Warehouse Facility</t>
  </si>
  <si>
    <t>$16M</t>
  </si>
  <si>
    <t>$159M</t>
  </si>
  <si>
    <t>$0M</t>
  </si>
  <si>
    <t>FHLB Availability * 80%</t>
  </si>
  <si>
    <t>FRB Availability * 80%</t>
  </si>
  <si>
    <t>Total Capital</t>
  </si>
  <si>
    <t>$490M</t>
  </si>
  <si>
    <t>$21.9B</t>
  </si>
  <si>
    <t>+$100M</t>
  </si>
  <si>
    <t>-$0.5B</t>
  </si>
  <si>
    <t>$1.83B</t>
  </si>
  <si>
    <t>+$200M</t>
  </si>
  <si>
    <t>Total Deposits</t>
  </si>
  <si>
    <t>-$1.0B</t>
  </si>
  <si>
    <t>$19.6B</t>
  </si>
  <si>
    <t>$18.6B</t>
  </si>
  <si>
    <r>
      <rPr>
        <vertAlign val="superscript"/>
        <sz val="11"/>
        <color theme="1"/>
        <rFont val="Aptos Narrow"/>
        <family val="2"/>
        <scheme val="minor"/>
      </rPr>
      <t>1.</t>
    </r>
    <r>
      <rPr>
        <sz val="11"/>
        <color theme="1"/>
        <rFont val="Aptos Narrow"/>
        <family val="2"/>
        <scheme val="minor"/>
      </rPr>
      <t xml:space="preserve">[HQLA L1 + HQLA L2 + (80% Borrowing Capacity)] </t>
    </r>
    <r>
      <rPr>
        <sz val="11"/>
        <color theme="1"/>
        <rFont val="Aptos Narrow"/>
        <family val="2"/>
      </rPr>
      <t>÷ Total Capital</t>
    </r>
  </si>
  <si>
    <t>Deposits</t>
  </si>
  <si>
    <t>Unsecured</t>
  </si>
  <si>
    <t>Secured</t>
  </si>
  <si>
    <t>HQLA t-1</t>
  </si>
  <si>
    <t>+$0.7B</t>
  </si>
  <si>
    <t>$100M</t>
  </si>
  <si>
    <t>WYSIWG</t>
  </si>
  <si>
    <t>$2.593B</t>
  </si>
  <si>
    <t>$5.253B</t>
  </si>
  <si>
    <t>$8.021B</t>
  </si>
  <si>
    <t>$2.513B</t>
  </si>
  <si>
    <t>$5.173B</t>
  </si>
  <si>
    <t>$7.861B</t>
  </si>
  <si>
    <t>+$0.19B</t>
  </si>
  <si>
    <t>Payoff</t>
  </si>
  <si>
    <t>HQLA t0</t>
  </si>
  <si>
    <t>-$0.08B</t>
  </si>
  <si>
    <t>-$0.16B</t>
  </si>
  <si>
    <t>Liquidity Trigger Event Action Plan</t>
  </si>
  <si>
    <t>Action</t>
  </si>
  <si>
    <t>Borrow Unsecured Lines of Credit</t>
  </si>
  <si>
    <t>Borrow Secured Lines of Credit</t>
  </si>
  <si>
    <t>New UFB Vintage at 25bps higher, or 5.50%</t>
  </si>
  <si>
    <t>Expected Impact on Liquidity</t>
  </si>
  <si>
    <t>None</t>
  </si>
  <si>
    <t>$1B</t>
  </si>
  <si>
    <t>Implementation Timeframe</t>
  </si>
  <si>
    <t>Day 1</t>
  </si>
  <si>
    <t>30 Days</t>
  </si>
  <si>
    <t>Reponsible Party</t>
  </si>
  <si>
    <t>Jim Thomas</t>
  </si>
  <si>
    <t>Brian Swanson</t>
  </si>
  <si>
    <t>MTM Impact on Capital</t>
  </si>
  <si>
    <t>Level I Liquidity (HQLA L1) / Cash Reserves</t>
  </si>
  <si>
    <t>- GSE Loans</t>
  </si>
  <si>
    <t>- HFS Loans</t>
  </si>
  <si>
    <t>- Warehouse Facility</t>
  </si>
  <si>
    <t>- FHLB Availability * 80%</t>
  </si>
  <si>
    <t>- FRB Availability * 80%</t>
  </si>
  <si>
    <t>Total Assets</t>
  </si>
  <si>
    <t>- FHLB</t>
  </si>
  <si>
    <t>- FRB</t>
  </si>
  <si>
    <t>Balance Sheet Metrics:</t>
  </si>
  <si>
    <t>Capital &amp; Liquidity Metrics:</t>
  </si>
  <si>
    <t>$ in MMs</t>
  </si>
  <si>
    <t>Check</t>
  </si>
  <si>
    <r>
      <t xml:space="preserve">Level II Liquidity (HQLA L2) </t>
    </r>
    <r>
      <rPr>
        <i/>
        <sz val="11"/>
        <color theme="1"/>
        <rFont val="Aptos Narrow"/>
        <family val="2"/>
        <scheme val="minor"/>
      </rPr>
      <t>[sum rows 4 to 8]</t>
    </r>
  </si>
  <si>
    <r>
      <rPr>
        <i/>
        <vertAlign val="superscript"/>
        <sz val="11"/>
        <color theme="1"/>
        <rFont val="Aptos Narrow"/>
        <family val="2"/>
        <scheme val="minor"/>
      </rPr>
      <t>1.</t>
    </r>
    <r>
      <rPr>
        <i/>
        <sz val="11"/>
        <color theme="1"/>
        <rFont val="Aptos Narrow"/>
        <family val="2"/>
        <scheme val="minor"/>
      </rPr>
      <t xml:space="preserve">[HQLA L1 + HQLA L2 + (80% Borrowing Capacity)] </t>
    </r>
    <r>
      <rPr>
        <i/>
        <sz val="11"/>
        <color theme="1"/>
        <rFont val="Aptos Narrow"/>
        <family val="2"/>
      </rPr>
      <t>÷ Total Capital</t>
    </r>
  </si>
  <si>
    <t>#</t>
  </si>
  <si>
    <r>
      <t xml:space="preserve">Level II Liquidity (HQLA L2) </t>
    </r>
    <r>
      <rPr>
        <i/>
        <sz val="11"/>
        <color theme="1"/>
        <rFont val="Aptos Narrow"/>
        <family val="2"/>
        <scheme val="minor"/>
      </rPr>
      <t>[sum rows 3 to 7]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</si>
</sst>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"/>
  </numFmts>
  <fonts count="1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vertAlign val="subscript"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i/>
      <vertAlign val="super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</font>
    <font>
      <i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34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theme="4" tint="-0.24994659260841701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0691854609822"/>
      </left>
      <right style="thin">
        <color theme="0" tint="-0.14993743705557422"/>
      </right>
      <top style="thin">
        <color theme="0" tint="-0.149906918546098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3743705557422"/>
      </right>
      <top style="thin">
        <color theme="0" tint="-0.14993743705557422"/>
      </top>
      <bottom style="thin">
        <color theme="0" tint="-0.14990691854609822"/>
      </bottom>
      <diagonal/>
    </border>
    <border>
      <left/>
      <right/>
      <top style="thin">
        <color theme="0" tint="-0.14990691854609822"/>
      </top>
      <bottom/>
      <diagonal/>
    </border>
    <border>
      <left/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06918546098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/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6" fillId="0" borderId="0" xfId="0" applyFont="1" applyAlignment="1">
      <alignment horizontal="right"/>
    </xf>
    <xf numFmtId="0" fontId="0" fillId="0" borderId="1" xfId="0" applyBorder="1" applyAlignment="1">
      <alignment horizontal="left" indent="3"/>
    </xf>
    <xf numFmtId="0" fontId="2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1" xfId="0" applyBorder="1" applyAlignment="1">
      <alignment wrapText="1"/>
    </xf>
    <xf numFmtId="0" fontId="0" fillId="0" borderId="3" xfId="0" applyBorder="1"/>
    <xf numFmtId="9" fontId="0" fillId="0" borderId="1" xfId="0" quotePrefix="1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10" fillId="0" borderId="0" xfId="0" applyFont="1"/>
    <xf numFmtId="9" fontId="0" fillId="0" borderId="0" xfId="1" applyFont="1"/>
    <xf numFmtId="0" fontId="0" fillId="0" borderId="13" xfId="0" applyBorder="1"/>
    <xf numFmtId="0" fontId="0" fillId="0" borderId="13" xfId="0" quotePrefix="1" applyBorder="1" applyAlignment="1">
      <alignment horizontal="left" indent="2"/>
    </xf>
    <xf numFmtId="0" fontId="0" fillId="0" borderId="13" xfId="0" quotePrefix="1" applyBorder="1" applyAlignment="1">
      <alignment horizontal="left" indent="3"/>
    </xf>
    <xf numFmtId="0" fontId="0" fillId="0" borderId="13" xfId="0" applyBorder="1" applyAlignment="1">
      <alignment wrapText="1"/>
    </xf>
    <xf numFmtId="0" fontId="0" fillId="0" borderId="16" xfId="0" quotePrefix="1" applyBorder="1" applyAlignment="1">
      <alignment horizontal="left" indent="3"/>
    </xf>
    <xf numFmtId="0" fontId="0" fillId="0" borderId="19" xfId="0" applyBorder="1"/>
    <xf numFmtId="0" fontId="0" fillId="0" borderId="20" xfId="0" applyBorder="1" applyAlignment="1">
      <alignment wrapText="1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0" xfId="0" applyFont="1"/>
    <xf numFmtId="0" fontId="2" fillId="0" borderId="22" xfId="0" applyFont="1" applyBorder="1"/>
    <xf numFmtId="9" fontId="0" fillId="0" borderId="15" xfId="1" applyFon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166" fontId="5" fillId="0" borderId="0" xfId="0" applyNumberFormat="1" applyFont="1"/>
    <xf numFmtId="0" fontId="11" fillId="2" borderId="1" xfId="0" applyFont="1" applyFill="1" applyBorder="1" applyAlignment="1">
      <alignment horizontal="center"/>
    </xf>
    <xf numFmtId="0" fontId="5" fillId="0" borderId="0" xfId="0" applyFont="1"/>
    <xf numFmtId="166" fontId="14" fillId="0" borderId="0" xfId="0" applyNumberFormat="1" applyFont="1"/>
    <xf numFmtId="0" fontId="14" fillId="0" borderId="0" xfId="0" applyFont="1" applyAlignment="1">
      <alignment horizontal="center"/>
    </xf>
    <xf numFmtId="3" fontId="0" fillId="3" borderId="15" xfId="0" applyNumberFormat="1" applyFill="1" applyBorder="1" applyAlignment="1">
      <alignment horizontal="center"/>
    </xf>
    <xf numFmtId="9" fontId="0" fillId="3" borderId="15" xfId="1" applyFont="1" applyFill="1" applyBorder="1" applyAlignment="1">
      <alignment horizontal="center"/>
    </xf>
    <xf numFmtId="0" fontId="0" fillId="3" borderId="24" xfId="0" applyFill="1" applyBorder="1"/>
    <xf numFmtId="0" fontId="0" fillId="0" borderId="24" xfId="0" applyBorder="1"/>
    <xf numFmtId="0" fontId="0" fillId="3" borderId="24" xfId="0" quotePrefix="1" applyFill="1" applyBorder="1" applyAlignment="1">
      <alignment horizontal="left" indent="2"/>
    </xf>
    <xf numFmtId="0" fontId="0" fillId="0" borderId="24" xfId="0" quotePrefix="1" applyBorder="1" applyAlignment="1">
      <alignment horizontal="left" indent="2"/>
    </xf>
    <xf numFmtId="0" fontId="0" fillId="0" borderId="24" xfId="0" quotePrefix="1" applyBorder="1" applyAlignment="1">
      <alignment horizontal="left" indent="3"/>
    </xf>
    <xf numFmtId="0" fontId="0" fillId="3" borderId="25" xfId="0" quotePrefix="1" applyFill="1" applyBorder="1" applyAlignment="1">
      <alignment horizontal="left" indent="3"/>
    </xf>
    <xf numFmtId="0" fontId="0" fillId="0" borderId="26" xfId="0" applyBorder="1"/>
    <xf numFmtId="0" fontId="0" fillId="3" borderId="27" xfId="0" applyFill="1" applyBorder="1" applyAlignment="1">
      <alignment wrapText="1"/>
    </xf>
    <xf numFmtId="0" fontId="0" fillId="3" borderId="24" xfId="0" applyFill="1" applyBorder="1" applyAlignment="1">
      <alignment wrapText="1"/>
    </xf>
    <xf numFmtId="0" fontId="1" fillId="2" borderId="14" xfId="0" applyFont="1" applyFill="1" applyBorder="1" applyAlignment="1">
      <alignment horizontal="center"/>
    </xf>
    <xf numFmtId="3" fontId="0" fillId="3" borderId="29" xfId="0" applyNumberFormat="1" applyFill="1" applyBorder="1" applyAlignment="1">
      <alignment horizontal="center"/>
    </xf>
    <xf numFmtId="3" fontId="0" fillId="0" borderId="29" xfId="0" applyNumberFormat="1" applyBorder="1" applyAlignment="1">
      <alignment horizontal="center"/>
    </xf>
    <xf numFmtId="3" fontId="0" fillId="3" borderId="14" xfId="0" applyNumberFormat="1" applyFill="1" applyBorder="1" applyAlignment="1">
      <alignment horizontal="center"/>
    </xf>
    <xf numFmtId="9" fontId="0" fillId="3" borderId="29" xfId="1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3" fontId="0" fillId="3" borderId="30" xfId="0" applyNumberFormat="1" applyFill="1" applyBorder="1" applyAlignment="1">
      <alignment horizontal="center"/>
    </xf>
    <xf numFmtId="3" fontId="0" fillId="0" borderId="30" xfId="0" applyNumberFormat="1" applyBorder="1" applyAlignment="1">
      <alignment horizontal="center"/>
    </xf>
    <xf numFmtId="9" fontId="0" fillId="3" borderId="31" xfId="1" applyFont="1" applyFill="1" applyBorder="1" applyAlignment="1">
      <alignment horizontal="center"/>
    </xf>
    <xf numFmtId="0" fontId="0" fillId="0" borderId="32" xfId="0" applyBorder="1"/>
    <xf numFmtId="0" fontId="0" fillId="0" borderId="32" xfId="0" applyBorder="1" applyAlignment="1">
      <alignment horizontal="center"/>
    </xf>
    <xf numFmtId="166" fontId="5" fillId="0" borderId="33" xfId="0" applyNumberFormat="1" applyFont="1" applyBorder="1"/>
    <xf numFmtId="166" fontId="14" fillId="3" borderId="18" xfId="0" applyNumberFormat="1" applyFont="1" applyFill="1" applyBorder="1" applyAlignment="1">
      <alignment vertical="center"/>
    </xf>
    <xf numFmtId="166" fontId="14" fillId="0" borderId="18" xfId="0" applyNumberFormat="1" applyFont="1" applyBorder="1" applyAlignment="1">
      <alignment vertical="center"/>
    </xf>
    <xf numFmtId="166" fontId="14" fillId="0" borderId="33" xfId="0" applyNumberFormat="1" applyFont="1" applyBorder="1" applyAlignment="1">
      <alignment vertical="center"/>
    </xf>
    <xf numFmtId="166" fontId="14" fillId="3" borderId="17" xfId="0" applyNumberFormat="1" applyFont="1" applyFill="1" applyBorder="1" applyAlignment="1">
      <alignment vertical="center"/>
    </xf>
    <xf numFmtId="0" fontId="1" fillId="2" borderId="15" xfId="0" applyFont="1" applyFill="1" applyBorder="1" applyAlignment="1">
      <alignment horizontal="center"/>
    </xf>
    <xf numFmtId="164" fontId="0" fillId="0" borderId="15" xfId="1" applyNumberFormat="1" applyFont="1" applyBorder="1" applyAlignment="1">
      <alignment horizontal="center"/>
    </xf>
    <xf numFmtId="164" fontId="0" fillId="0" borderId="29" xfId="1" applyNumberFormat="1" applyFont="1" applyBorder="1" applyAlignment="1">
      <alignment horizontal="center"/>
    </xf>
    <xf numFmtId="164" fontId="0" fillId="0" borderId="30" xfId="1" applyNumberFormat="1" applyFon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quotePrefix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0EA18-7CAE-453B-9F06-028D84F99751}">
  <dimension ref="B1:O33"/>
  <sheetViews>
    <sheetView showGridLines="0" workbookViewId="0">
      <selection activeCell="I7" sqref="I7"/>
    </sheetView>
  </sheetViews>
  <sheetFormatPr defaultRowHeight="15" x14ac:dyDescent="0.25"/>
  <cols>
    <col min="2" max="2" width="3.42578125" customWidth="1"/>
    <col min="3" max="3" width="39.5703125" customWidth="1"/>
    <col min="4" max="5" width="8.7109375" style="1"/>
    <col min="12" max="12" width="10.42578125" bestFit="1" customWidth="1"/>
  </cols>
  <sheetData>
    <row r="1" spans="2:15" ht="18.75" thickBot="1" x14ac:dyDescent="0.4">
      <c r="B1" s="10" t="s">
        <v>23</v>
      </c>
      <c r="C1" s="11"/>
      <c r="D1" s="12"/>
      <c r="E1" s="12"/>
      <c r="F1" s="11"/>
    </row>
    <row r="2" spans="2:15" ht="6.6" customHeight="1" thickTop="1" x14ac:dyDescent="0.25"/>
    <row r="3" spans="2:15" x14ac:dyDescent="0.25">
      <c r="D3" s="13" t="s">
        <v>20</v>
      </c>
      <c r="E3" s="13" t="s">
        <v>21</v>
      </c>
      <c r="F3" s="13" t="s">
        <v>22</v>
      </c>
    </row>
    <row r="4" spans="2:15" ht="18" x14ac:dyDescent="0.35">
      <c r="C4" s="4" t="s">
        <v>8</v>
      </c>
      <c r="D4" s="5" t="s">
        <v>6</v>
      </c>
      <c r="E4" s="5" t="s">
        <v>7</v>
      </c>
      <c r="F4" s="5" t="s">
        <v>17</v>
      </c>
    </row>
    <row r="5" spans="2:15" ht="15.95" customHeight="1" x14ac:dyDescent="0.25">
      <c r="B5" s="8">
        <v>1</v>
      </c>
      <c r="C5" s="2" t="s">
        <v>0</v>
      </c>
      <c r="D5" s="7">
        <f>2.3/22.4</f>
        <v>0.10267857142857142</v>
      </c>
      <c r="E5" s="7">
        <f>1.83/21.9</f>
        <v>8.3561643835616442E-2</v>
      </c>
      <c r="F5" s="7">
        <f>+E5-D5</f>
        <v>-1.9116927592954983E-2</v>
      </c>
      <c r="H5" s="18">
        <f>+H6/H7</f>
        <v>0.10401785714285715</v>
      </c>
      <c r="I5" s="18">
        <f>+I6/I7</f>
        <v>8.3561643835616442E-2</v>
      </c>
      <c r="J5" s="20" t="s">
        <v>56</v>
      </c>
      <c r="K5" s="20" t="s">
        <v>53</v>
      </c>
      <c r="L5" s="20" t="s">
        <v>54</v>
      </c>
      <c r="M5" s="20" t="s">
        <v>55</v>
      </c>
      <c r="N5" s="20" t="s">
        <v>67</v>
      </c>
      <c r="O5" s="20" t="s">
        <v>68</v>
      </c>
    </row>
    <row r="6" spans="2:15" x14ac:dyDescent="0.25">
      <c r="B6" s="8">
        <f>B5+1</f>
        <v>2</v>
      </c>
      <c r="C6" s="2" t="s">
        <v>1</v>
      </c>
      <c r="D6" s="3" t="s">
        <v>32</v>
      </c>
      <c r="E6" s="3" t="s">
        <v>46</v>
      </c>
      <c r="F6" s="6" t="s">
        <v>45</v>
      </c>
      <c r="H6">
        <v>2.33</v>
      </c>
      <c r="I6" s="19">
        <v>1.83</v>
      </c>
      <c r="J6" s="21">
        <f>+H6</f>
        <v>2.33</v>
      </c>
      <c r="K6">
        <f>+I15</f>
        <v>-1</v>
      </c>
      <c r="L6">
        <f>+I10</f>
        <v>0.27500000000000002</v>
      </c>
      <c r="M6">
        <f>+I13+I12</f>
        <v>0.2</v>
      </c>
      <c r="N6">
        <f>+I14</f>
        <v>2.5000000000000001E-2</v>
      </c>
      <c r="O6" s="21">
        <f>+J6+K6+L6+M6+N6</f>
        <v>1.8299999999999998</v>
      </c>
    </row>
    <row r="7" spans="2:15" x14ac:dyDescent="0.25">
      <c r="B7" s="8">
        <f t="shared" ref="B7:B15" si="0">B6+1</f>
        <v>3</v>
      </c>
      <c r="C7" s="2" t="s">
        <v>2</v>
      </c>
      <c r="D7" s="3" t="s">
        <v>10</v>
      </c>
      <c r="E7" s="3" t="s">
        <v>43</v>
      </c>
      <c r="F7" s="6" t="s">
        <v>45</v>
      </c>
      <c r="H7">
        <v>22.4</v>
      </c>
      <c r="I7">
        <f>+H7+O6-J6</f>
        <v>21.9</v>
      </c>
    </row>
    <row r="8" spans="2:15" x14ac:dyDescent="0.25">
      <c r="B8" s="8">
        <f t="shared" si="0"/>
        <v>4</v>
      </c>
      <c r="C8" s="2" t="s">
        <v>12</v>
      </c>
      <c r="D8" s="6" t="s">
        <v>11</v>
      </c>
      <c r="E8" s="6" t="s">
        <v>57</v>
      </c>
      <c r="F8" s="3"/>
      <c r="H8">
        <f>(H5*H7)-(5%*H7)</f>
        <v>1.2100000000000002</v>
      </c>
      <c r="I8" s="19">
        <f>(I5*I7)-(5%*I7)</f>
        <v>0.7350000000000001</v>
      </c>
    </row>
    <row r="9" spans="2:15" x14ac:dyDescent="0.25">
      <c r="B9" s="8">
        <f t="shared" si="0"/>
        <v>5</v>
      </c>
      <c r="C9" s="2" t="s">
        <v>18</v>
      </c>
      <c r="D9" s="6" t="s">
        <v>19</v>
      </c>
      <c r="E9" s="6" t="s">
        <v>66</v>
      </c>
      <c r="F9" s="3"/>
      <c r="I9" s="19">
        <f>(I5*I7)-(7.5%*I7)</f>
        <v>0.18750000000000022</v>
      </c>
      <c r="J9" s="18"/>
    </row>
    <row r="10" spans="2:15" x14ac:dyDescent="0.25">
      <c r="B10" s="8">
        <f t="shared" si="0"/>
        <v>6</v>
      </c>
      <c r="C10" s="2" t="s">
        <v>3</v>
      </c>
      <c r="D10" s="6">
        <v>0</v>
      </c>
      <c r="E10" s="3" t="s">
        <v>13</v>
      </c>
      <c r="F10" s="6" t="s">
        <v>26</v>
      </c>
      <c r="I10">
        <v>0.27500000000000002</v>
      </c>
    </row>
    <row r="11" spans="2:15" x14ac:dyDescent="0.25">
      <c r="B11" s="8">
        <f t="shared" si="0"/>
        <v>7</v>
      </c>
      <c r="C11" s="2" t="s">
        <v>14</v>
      </c>
      <c r="D11" s="3"/>
      <c r="E11" s="3"/>
      <c r="F11" s="3"/>
    </row>
    <row r="12" spans="2:15" x14ac:dyDescent="0.25">
      <c r="B12" s="8">
        <f t="shared" si="0"/>
        <v>8</v>
      </c>
      <c r="C12" s="9" t="s">
        <v>5</v>
      </c>
      <c r="D12" s="3" t="s">
        <v>25</v>
      </c>
      <c r="E12" s="3" t="s">
        <v>42</v>
      </c>
      <c r="F12" s="6" t="s">
        <v>44</v>
      </c>
      <c r="I12">
        <v>0.1</v>
      </c>
    </row>
    <row r="13" spans="2:15" x14ac:dyDescent="0.25">
      <c r="B13" s="8">
        <f t="shared" si="0"/>
        <v>9</v>
      </c>
      <c r="C13" s="9" t="s">
        <v>4</v>
      </c>
      <c r="D13" s="3">
        <v>0</v>
      </c>
      <c r="E13" s="3" t="s">
        <v>58</v>
      </c>
      <c r="F13" s="6" t="s">
        <v>44</v>
      </c>
      <c r="I13">
        <v>0.1</v>
      </c>
    </row>
    <row r="14" spans="2:15" x14ac:dyDescent="0.25">
      <c r="B14" s="8">
        <f t="shared" si="0"/>
        <v>10</v>
      </c>
      <c r="C14" s="2" t="s">
        <v>16</v>
      </c>
      <c r="D14" s="6" t="s">
        <v>19</v>
      </c>
      <c r="E14" s="6" t="s">
        <v>15</v>
      </c>
      <c r="F14" s="6" t="s">
        <v>15</v>
      </c>
      <c r="I14">
        <v>2.5000000000000001E-2</v>
      </c>
    </row>
    <row r="15" spans="2:15" x14ac:dyDescent="0.25">
      <c r="B15" s="8">
        <f t="shared" si="0"/>
        <v>11</v>
      </c>
      <c r="C15" s="14" t="s">
        <v>48</v>
      </c>
      <c r="D15" s="6" t="s">
        <v>50</v>
      </c>
      <c r="E15" s="3" t="s">
        <v>51</v>
      </c>
      <c r="F15" s="6" t="s">
        <v>49</v>
      </c>
      <c r="I15">
        <v>-1</v>
      </c>
    </row>
    <row r="18" spans="2:13" ht="18.75" thickBot="1" x14ac:dyDescent="0.4">
      <c r="B18" s="10" t="s">
        <v>23</v>
      </c>
      <c r="C18" s="11"/>
      <c r="D18" s="12"/>
      <c r="E18" s="12"/>
      <c r="F18" s="11"/>
    </row>
    <row r="19" spans="2:13" ht="6" customHeight="1" thickTop="1" x14ac:dyDescent="0.25"/>
    <row r="20" spans="2:13" x14ac:dyDescent="0.25">
      <c r="D20" s="13" t="s">
        <v>20</v>
      </c>
      <c r="E20" s="13" t="s">
        <v>21</v>
      </c>
      <c r="F20" s="13" t="s">
        <v>22</v>
      </c>
    </row>
    <row r="21" spans="2:13" ht="18" x14ac:dyDescent="0.35">
      <c r="C21" s="4" t="s">
        <v>8</v>
      </c>
      <c r="D21" s="5" t="s">
        <v>6</v>
      </c>
      <c r="E21" s="5" t="s">
        <v>7</v>
      </c>
      <c r="F21" s="5" t="s">
        <v>17</v>
      </c>
    </row>
    <row r="22" spans="2:13" x14ac:dyDescent="0.25">
      <c r="B22" s="8">
        <v>1</v>
      </c>
      <c r="C22" s="2" t="s">
        <v>27</v>
      </c>
      <c r="D22" s="7" t="str">
        <f>D6</f>
        <v>$2.33B</v>
      </c>
      <c r="E22" s="7" t="str">
        <f t="shared" ref="E22:F22" si="1">E6</f>
        <v>$1.83B</v>
      </c>
      <c r="F22" s="6" t="str">
        <f t="shared" si="1"/>
        <v>-$0.5B</v>
      </c>
    </row>
    <row r="23" spans="2:13" x14ac:dyDescent="0.25">
      <c r="B23" s="8">
        <f>B22+1</f>
        <v>2</v>
      </c>
      <c r="C23" s="2" t="s">
        <v>28</v>
      </c>
      <c r="D23" s="6" t="s">
        <v>29</v>
      </c>
      <c r="E23" s="6" t="s">
        <v>29</v>
      </c>
      <c r="F23" s="6"/>
      <c r="K23" t="s">
        <v>59</v>
      </c>
    </row>
    <row r="24" spans="2:13" x14ac:dyDescent="0.25">
      <c r="B24" s="8">
        <f t="shared" ref="B24:B31" si="2">B23+1</f>
        <v>3</v>
      </c>
      <c r="C24" s="2" t="s">
        <v>31</v>
      </c>
      <c r="D24" s="3" t="str">
        <f>D6</f>
        <v>$2.33B</v>
      </c>
      <c r="E24" s="3" t="str">
        <f>E6</f>
        <v>$1.83B</v>
      </c>
      <c r="F24" s="6" t="str">
        <f>+F6</f>
        <v>-$0.5B</v>
      </c>
      <c r="H24">
        <v>2.33</v>
      </c>
      <c r="I24">
        <v>1.83</v>
      </c>
      <c r="J24">
        <f>+I24-H24</f>
        <v>-0.5</v>
      </c>
      <c r="K24">
        <f>+H24</f>
        <v>2.33</v>
      </c>
      <c r="L24">
        <f>+I24</f>
        <v>1.83</v>
      </c>
    </row>
    <row r="25" spans="2:13" x14ac:dyDescent="0.25">
      <c r="B25" s="8">
        <f t="shared" si="2"/>
        <v>4</v>
      </c>
      <c r="C25" s="2" t="s">
        <v>33</v>
      </c>
      <c r="D25" s="6" t="s">
        <v>36</v>
      </c>
      <c r="E25" s="6" t="s">
        <v>36</v>
      </c>
      <c r="F25" s="3"/>
      <c r="H25">
        <v>1.6E-2</v>
      </c>
      <c r="I25">
        <v>1.6E-2</v>
      </c>
      <c r="K25">
        <v>1.6E-2</v>
      </c>
      <c r="L25">
        <v>1.6E-2</v>
      </c>
    </row>
    <row r="26" spans="2:13" x14ac:dyDescent="0.25">
      <c r="B26" s="8">
        <f t="shared" si="2"/>
        <v>5</v>
      </c>
      <c r="C26" s="2" t="s">
        <v>34</v>
      </c>
      <c r="D26" s="6" t="s">
        <v>38</v>
      </c>
      <c r="E26" s="6" t="s">
        <v>38</v>
      </c>
      <c r="F26" s="3"/>
      <c r="H26">
        <v>0</v>
      </c>
      <c r="I26">
        <v>0</v>
      </c>
      <c r="K26">
        <v>0</v>
      </c>
      <c r="L26">
        <v>0</v>
      </c>
    </row>
    <row r="27" spans="2:13" x14ac:dyDescent="0.25">
      <c r="B27" s="8">
        <f t="shared" si="2"/>
        <v>6</v>
      </c>
      <c r="C27" s="2" t="s">
        <v>35</v>
      </c>
      <c r="D27" s="6" t="s">
        <v>37</v>
      </c>
      <c r="E27" s="6" t="s">
        <v>37</v>
      </c>
      <c r="F27" s="6"/>
      <c r="H27">
        <v>0.159</v>
      </c>
      <c r="I27">
        <v>0.159</v>
      </c>
      <c r="K27">
        <v>0.159</v>
      </c>
      <c r="L27">
        <v>0.159</v>
      </c>
    </row>
    <row r="28" spans="2:13" x14ac:dyDescent="0.25">
      <c r="B28" s="8">
        <f t="shared" si="2"/>
        <v>7</v>
      </c>
      <c r="C28" s="2" t="s">
        <v>39</v>
      </c>
      <c r="D28" s="3" t="s">
        <v>60</v>
      </c>
      <c r="E28" s="3" t="s">
        <v>63</v>
      </c>
      <c r="F28" s="6" t="s">
        <v>69</v>
      </c>
      <c r="H28">
        <f>3.242*0.8</f>
        <v>2.5936000000000003</v>
      </c>
      <c r="I28">
        <f>3.142*0.8</f>
        <v>2.5136000000000003</v>
      </c>
      <c r="J28">
        <f>+I28-H28</f>
        <v>-8.0000000000000071E-2</v>
      </c>
      <c r="K28">
        <v>2.593</v>
      </c>
      <c r="L28">
        <v>2.5129999999999999</v>
      </c>
    </row>
    <row r="29" spans="2:13" x14ac:dyDescent="0.25">
      <c r="B29" s="8">
        <f t="shared" si="2"/>
        <v>8</v>
      </c>
      <c r="C29" s="2" t="s">
        <v>40</v>
      </c>
      <c r="D29" s="3" t="s">
        <v>61</v>
      </c>
      <c r="E29" s="3" t="s">
        <v>64</v>
      </c>
      <c r="F29" s="6" t="s">
        <v>69</v>
      </c>
      <c r="H29">
        <f>6.566*0.8</f>
        <v>5.2528000000000006</v>
      </c>
      <c r="I29">
        <f>6.466*0.8</f>
        <v>5.1728000000000005</v>
      </c>
      <c r="J29">
        <f>+I29-H29</f>
        <v>-8.0000000000000071E-2</v>
      </c>
      <c r="K29">
        <v>5.2530000000000001</v>
      </c>
      <c r="L29">
        <v>5.173</v>
      </c>
    </row>
    <row r="30" spans="2:13" x14ac:dyDescent="0.25">
      <c r="B30" s="8">
        <f t="shared" si="2"/>
        <v>9</v>
      </c>
      <c r="C30" s="2" t="s">
        <v>30</v>
      </c>
      <c r="D30" s="6" t="s">
        <v>62</v>
      </c>
      <c r="E30" s="6" t="s">
        <v>65</v>
      </c>
      <c r="F30" s="6" t="s">
        <v>70</v>
      </c>
      <c r="H30">
        <f>SUM(H25:H29)</f>
        <v>8.0213999999999999</v>
      </c>
      <c r="I30">
        <f>SUM(I25:I29)</f>
        <v>7.8614000000000006</v>
      </c>
      <c r="J30">
        <f>+I30-H30</f>
        <v>-0.15999999999999925</v>
      </c>
      <c r="K30">
        <f>SUM(K25:K29)</f>
        <v>8.0210000000000008</v>
      </c>
      <c r="L30">
        <f>SUM(L25:L29)</f>
        <v>7.8609999999999998</v>
      </c>
    </row>
    <row r="31" spans="2:13" x14ac:dyDescent="0.25">
      <c r="B31" s="8">
        <f t="shared" si="2"/>
        <v>10</v>
      </c>
      <c r="C31" s="2" t="s">
        <v>41</v>
      </c>
      <c r="D31" s="6" t="s">
        <v>9</v>
      </c>
      <c r="E31" s="6" t="s">
        <v>9</v>
      </c>
      <c r="F31" s="6"/>
      <c r="H31">
        <v>2.2999999999999998</v>
      </c>
      <c r="I31">
        <v>2.2999999999999998</v>
      </c>
      <c r="K31">
        <f>+H31</f>
        <v>2.2999999999999998</v>
      </c>
      <c r="L31">
        <f>+I31</f>
        <v>2.2999999999999998</v>
      </c>
    </row>
    <row r="32" spans="2:13" ht="31.5" x14ac:dyDescent="0.25">
      <c r="B32" s="8">
        <f>B31+1</f>
        <v>11</v>
      </c>
      <c r="C32" s="14" t="s">
        <v>24</v>
      </c>
      <c r="D32" s="16">
        <v>4.5</v>
      </c>
      <c r="E32" s="17">
        <v>4.21</v>
      </c>
      <c r="F32" s="17">
        <f>+E32-D32</f>
        <v>-0.29000000000000004</v>
      </c>
      <c r="H32">
        <f>(H24+H30)/H31</f>
        <v>4.5006086956521738</v>
      </c>
      <c r="I32">
        <f>(I24+I30)/I31</f>
        <v>4.2136521739130446</v>
      </c>
      <c r="K32">
        <f>(K24+K30)/K31</f>
        <v>4.5004347826086963</v>
      </c>
      <c r="L32">
        <f>(L24+L30)/L31</f>
        <v>4.2134782608695653</v>
      </c>
      <c r="M32" s="22">
        <f>+L32-K32</f>
        <v>-0.286956521739131</v>
      </c>
    </row>
    <row r="33" spans="3:3" ht="16.5" x14ac:dyDescent="0.25">
      <c r="C33" s="15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9A872-06B3-4699-8654-4146A06E779C}">
  <dimension ref="B1:P25"/>
  <sheetViews>
    <sheetView showGridLines="0" workbookViewId="0">
      <selection activeCell="B3" sqref="B3:F24"/>
    </sheetView>
  </sheetViews>
  <sheetFormatPr defaultRowHeight="15" x14ac:dyDescent="0.25"/>
  <cols>
    <col min="2" max="2" width="4.140625" customWidth="1"/>
    <col min="3" max="3" width="39.5703125" customWidth="1"/>
    <col min="4" max="5" width="8.7109375" style="1"/>
    <col min="12" max="12" width="10.42578125" bestFit="1" customWidth="1"/>
    <col min="17" max="17" width="3.140625" bestFit="1" customWidth="1"/>
    <col min="18" max="18" width="38.7109375" bestFit="1" customWidth="1"/>
  </cols>
  <sheetData>
    <row r="1" spans="2:16" ht="18.75" thickBot="1" x14ac:dyDescent="0.4">
      <c r="B1" s="10" t="s">
        <v>23</v>
      </c>
      <c r="C1" s="10"/>
      <c r="D1" s="10"/>
      <c r="E1" s="10"/>
      <c r="F1" s="10"/>
    </row>
    <row r="2" spans="2:16" ht="15.75" thickTop="1" x14ac:dyDescent="0.25">
      <c r="D2" s="43" t="s">
        <v>20</v>
      </c>
      <c r="E2" s="43" t="s">
        <v>21</v>
      </c>
      <c r="F2" s="43" t="s">
        <v>22</v>
      </c>
    </row>
    <row r="3" spans="2:16" ht="18" x14ac:dyDescent="0.35">
      <c r="C3" s="40" t="s">
        <v>97</v>
      </c>
      <c r="D3" s="5" t="s">
        <v>6</v>
      </c>
      <c r="E3" s="5" t="s">
        <v>7</v>
      </c>
      <c r="F3" s="5" t="s">
        <v>17</v>
      </c>
    </row>
    <row r="4" spans="2:16" x14ac:dyDescent="0.25">
      <c r="B4" s="39"/>
      <c r="C4" s="33" t="s">
        <v>95</v>
      </c>
    </row>
    <row r="5" spans="2:16" x14ac:dyDescent="0.25">
      <c r="B5" s="42">
        <f>+B4+1</f>
        <v>1</v>
      </c>
      <c r="C5" s="23" t="s">
        <v>28</v>
      </c>
      <c r="D5" s="36">
        <f>H5*100</f>
        <v>30</v>
      </c>
      <c r="E5" s="36">
        <f>I5*100</f>
        <v>30</v>
      </c>
      <c r="F5" s="37">
        <f>+E5-D5</f>
        <v>0</v>
      </c>
      <c r="H5">
        <v>0.3</v>
      </c>
      <c r="I5">
        <v>0.3</v>
      </c>
      <c r="J5" s="20" t="s">
        <v>56</v>
      </c>
      <c r="K5" s="20" t="s">
        <v>53</v>
      </c>
      <c r="L5" s="20" t="s">
        <v>54</v>
      </c>
      <c r="M5" s="20" t="s">
        <v>55</v>
      </c>
      <c r="N5" s="20" t="s">
        <v>67</v>
      </c>
      <c r="O5" s="20" t="s">
        <v>68</v>
      </c>
      <c r="P5" s="20" t="s">
        <v>98</v>
      </c>
    </row>
    <row r="6" spans="2:16" x14ac:dyDescent="0.25">
      <c r="B6" s="42">
        <f t="shared" ref="B6:B24" si="0">+B5+1</f>
        <v>2</v>
      </c>
      <c r="C6" s="23" t="s">
        <v>86</v>
      </c>
      <c r="D6" s="36">
        <f>H6*1000</f>
        <v>2330</v>
      </c>
      <c r="E6" s="36">
        <f>I6*1000</f>
        <v>1830</v>
      </c>
      <c r="F6" s="37">
        <f>+E6-D6</f>
        <v>-500</v>
      </c>
      <c r="H6">
        <v>2.33</v>
      </c>
      <c r="I6" s="19">
        <v>1.83</v>
      </c>
      <c r="J6" s="21">
        <f>+H6</f>
        <v>2.33</v>
      </c>
      <c r="K6">
        <f>J19</f>
        <v>-1</v>
      </c>
      <c r="L6">
        <f>I14</f>
        <v>0.27500000000000002</v>
      </c>
      <c r="M6">
        <f>SUM(J16:J17)</f>
        <v>0.19999999999999998</v>
      </c>
      <c r="N6">
        <f>I18</f>
        <v>2.5000000000000001E-2</v>
      </c>
      <c r="O6" s="21">
        <f>+J6+K6+L6+M6+N6</f>
        <v>1.8299999999999998</v>
      </c>
      <c r="P6" s="19">
        <f>+O6-I6</f>
        <v>0</v>
      </c>
    </row>
    <row r="7" spans="2:16" x14ac:dyDescent="0.25">
      <c r="B7" s="42">
        <f t="shared" si="0"/>
        <v>3</v>
      </c>
      <c r="C7" s="24" t="s">
        <v>87</v>
      </c>
      <c r="D7" s="36">
        <f t="shared" ref="D7:D8" si="1">H7*1000</f>
        <v>16</v>
      </c>
      <c r="E7" s="36">
        <f t="shared" ref="E7:E8" si="2">I7*1000</f>
        <v>16</v>
      </c>
      <c r="F7" s="37">
        <f t="shared" ref="F7:F8" si="3">+E7-D7</f>
        <v>0</v>
      </c>
      <c r="H7">
        <v>1.6E-2</v>
      </c>
      <c r="I7">
        <v>1.6E-2</v>
      </c>
      <c r="K7">
        <v>1.6E-2</v>
      </c>
      <c r="L7">
        <v>1.6E-2</v>
      </c>
    </row>
    <row r="8" spans="2:16" x14ac:dyDescent="0.25">
      <c r="B8" s="42">
        <f t="shared" si="0"/>
        <v>4</v>
      </c>
      <c r="C8" s="24" t="s">
        <v>88</v>
      </c>
      <c r="D8" s="36">
        <f t="shared" si="1"/>
        <v>0</v>
      </c>
      <c r="E8" s="36">
        <f t="shared" si="2"/>
        <v>0</v>
      </c>
      <c r="F8" s="37">
        <f t="shared" si="3"/>
        <v>0</v>
      </c>
      <c r="H8">
        <v>0</v>
      </c>
      <c r="I8">
        <v>0</v>
      </c>
      <c r="K8">
        <v>0</v>
      </c>
      <c r="L8">
        <v>0</v>
      </c>
    </row>
    <row r="9" spans="2:16" x14ac:dyDescent="0.25">
      <c r="B9" s="42">
        <f t="shared" si="0"/>
        <v>5</v>
      </c>
      <c r="C9" s="24" t="s">
        <v>89</v>
      </c>
      <c r="D9" s="36">
        <f t="shared" ref="D9:D11" si="4">H9*1000</f>
        <v>159</v>
      </c>
      <c r="E9" s="36">
        <f t="shared" ref="E9:E11" si="5">I9*1000</f>
        <v>159</v>
      </c>
      <c r="F9" s="37">
        <f t="shared" ref="F9:F12" si="6">+E9-D9</f>
        <v>0</v>
      </c>
      <c r="H9">
        <v>0.159</v>
      </c>
      <c r="I9">
        <v>0.159</v>
      </c>
      <c r="K9">
        <v>0.159</v>
      </c>
      <c r="L9">
        <v>0.159</v>
      </c>
    </row>
    <row r="10" spans="2:16" x14ac:dyDescent="0.25">
      <c r="B10" s="42">
        <f t="shared" si="0"/>
        <v>6</v>
      </c>
      <c r="C10" s="24" t="s">
        <v>90</v>
      </c>
      <c r="D10" s="36">
        <f t="shared" si="4"/>
        <v>2593.6000000000004</v>
      </c>
      <c r="E10" s="36">
        <f t="shared" si="5"/>
        <v>2513.6000000000004</v>
      </c>
      <c r="F10" s="37">
        <f t="shared" si="6"/>
        <v>-80</v>
      </c>
      <c r="H10">
        <f>3.242*0.8</f>
        <v>2.5936000000000003</v>
      </c>
      <c r="I10">
        <f>3.142*0.8</f>
        <v>2.5136000000000003</v>
      </c>
      <c r="J10">
        <f>+I10-H10</f>
        <v>-8.0000000000000071E-2</v>
      </c>
      <c r="K10">
        <v>2.593</v>
      </c>
      <c r="L10">
        <v>2.5129999999999999</v>
      </c>
    </row>
    <row r="11" spans="2:16" x14ac:dyDescent="0.25">
      <c r="B11" s="42">
        <f t="shared" si="0"/>
        <v>7</v>
      </c>
      <c r="C11" s="24" t="s">
        <v>91</v>
      </c>
      <c r="D11" s="36">
        <f t="shared" si="4"/>
        <v>5252.8</v>
      </c>
      <c r="E11" s="36">
        <f t="shared" si="5"/>
        <v>5172.8</v>
      </c>
      <c r="F11" s="37">
        <f t="shared" si="6"/>
        <v>-80</v>
      </c>
      <c r="H11">
        <f>6.566*0.8</f>
        <v>5.2528000000000006</v>
      </c>
      <c r="I11">
        <f>6.466*0.8</f>
        <v>5.1728000000000005</v>
      </c>
      <c r="J11">
        <f>+I11-H11</f>
        <v>-8.0000000000000071E-2</v>
      </c>
      <c r="K11">
        <v>5.2530000000000001</v>
      </c>
      <c r="L11">
        <v>5.173</v>
      </c>
    </row>
    <row r="12" spans="2:16" x14ac:dyDescent="0.25">
      <c r="B12" s="42">
        <f t="shared" si="0"/>
        <v>8</v>
      </c>
      <c r="C12" s="23" t="s">
        <v>99</v>
      </c>
      <c r="D12" s="36">
        <f>SUM(D7:D11)</f>
        <v>8021.4000000000005</v>
      </c>
      <c r="E12" s="36">
        <f>SUM(E7:E11)</f>
        <v>7861.4000000000005</v>
      </c>
      <c r="F12" s="37">
        <f t="shared" si="6"/>
        <v>-160</v>
      </c>
      <c r="H12">
        <f>SUM(H7:H11)</f>
        <v>8.0213999999999999</v>
      </c>
      <c r="I12">
        <f>SUM(I7:I11)</f>
        <v>7.8614000000000006</v>
      </c>
      <c r="J12">
        <f>+I12-H12</f>
        <v>-0.15999999999999925</v>
      </c>
      <c r="K12">
        <f>SUM(K7:K11)</f>
        <v>8.0210000000000008</v>
      </c>
      <c r="L12">
        <f>SUM(L7:L11)</f>
        <v>7.8609999999999998</v>
      </c>
    </row>
    <row r="13" spans="2:16" x14ac:dyDescent="0.25">
      <c r="B13" s="42">
        <f t="shared" si="0"/>
        <v>9</v>
      </c>
      <c r="C13" s="23" t="s">
        <v>92</v>
      </c>
      <c r="D13" s="36">
        <f t="shared" ref="D13" si="7">H13*1000</f>
        <v>22400</v>
      </c>
      <c r="E13" s="36">
        <f t="shared" ref="E13" si="8">I13*1000</f>
        <v>22560</v>
      </c>
      <c r="F13" s="37">
        <f t="shared" ref="F13" si="9">+E13-D13</f>
        <v>160</v>
      </c>
      <c r="H13">
        <v>22.4</v>
      </c>
      <c r="I13">
        <f>+H13+O12-J12</f>
        <v>22.56</v>
      </c>
    </row>
    <row r="14" spans="2:16" x14ac:dyDescent="0.25">
      <c r="B14" s="42">
        <f t="shared" si="0"/>
        <v>10</v>
      </c>
      <c r="C14" s="23" t="s">
        <v>3</v>
      </c>
      <c r="D14" s="36">
        <f t="shared" ref="D14" si="10">H14*1000</f>
        <v>0</v>
      </c>
      <c r="E14" s="36">
        <f t="shared" ref="E14" si="11">I14*1000</f>
        <v>275</v>
      </c>
      <c r="F14" s="37">
        <f t="shared" ref="F14" si="12">+E14-D14</f>
        <v>275</v>
      </c>
      <c r="I14">
        <v>0.27500000000000002</v>
      </c>
    </row>
    <row r="15" spans="2:16" x14ac:dyDescent="0.25">
      <c r="B15" s="42">
        <f t="shared" si="0"/>
        <v>11</v>
      </c>
      <c r="C15" s="23" t="s">
        <v>14</v>
      </c>
      <c r="D15" s="36"/>
      <c r="E15" s="37"/>
      <c r="F15" s="37"/>
    </row>
    <row r="16" spans="2:16" x14ac:dyDescent="0.25">
      <c r="B16" s="42">
        <f t="shared" si="0"/>
        <v>12</v>
      </c>
      <c r="C16" s="25" t="s">
        <v>93</v>
      </c>
      <c r="D16" s="36">
        <f t="shared" ref="D16:D17" si="13">H16*1000</f>
        <v>390</v>
      </c>
      <c r="E16" s="36">
        <f t="shared" ref="E16:E17" si="14">I16*1000</f>
        <v>490</v>
      </c>
      <c r="F16" s="37">
        <f t="shared" ref="F16:F17" si="15">+E16-D16</f>
        <v>100</v>
      </c>
      <c r="H16" s="3">
        <v>0.39</v>
      </c>
      <c r="I16" s="3">
        <v>0.49</v>
      </c>
      <c r="J16">
        <f>+I16-H16</f>
        <v>9.9999999999999978E-2</v>
      </c>
    </row>
    <row r="17" spans="2:12" x14ac:dyDescent="0.25">
      <c r="B17" s="42">
        <f t="shared" si="0"/>
        <v>13</v>
      </c>
      <c r="C17" s="27" t="s">
        <v>94</v>
      </c>
      <c r="D17" s="36">
        <f t="shared" si="13"/>
        <v>0</v>
      </c>
      <c r="E17" s="36">
        <f t="shared" si="14"/>
        <v>100</v>
      </c>
      <c r="F17" s="37">
        <f t="shared" si="15"/>
        <v>100</v>
      </c>
      <c r="H17" s="3">
        <v>0</v>
      </c>
      <c r="I17" s="3">
        <v>0.1</v>
      </c>
      <c r="J17">
        <f>+I17-H17</f>
        <v>0.1</v>
      </c>
    </row>
    <row r="18" spans="2:12" x14ac:dyDescent="0.25">
      <c r="B18" s="42">
        <f t="shared" si="0"/>
        <v>14</v>
      </c>
      <c r="C18" s="28" t="s">
        <v>16</v>
      </c>
      <c r="D18" s="36">
        <f t="shared" ref="D18" si="16">H18*1000</f>
        <v>0</v>
      </c>
      <c r="E18" s="36">
        <f t="shared" ref="E18" si="17">I18*1000</f>
        <v>25</v>
      </c>
      <c r="F18" s="37">
        <f t="shared" ref="F18" si="18">+E18-D18</f>
        <v>25</v>
      </c>
      <c r="I18">
        <v>2.5000000000000001E-2</v>
      </c>
    </row>
    <row r="19" spans="2:12" x14ac:dyDescent="0.25">
      <c r="B19" s="42">
        <f t="shared" si="0"/>
        <v>15</v>
      </c>
      <c r="C19" s="29" t="s">
        <v>48</v>
      </c>
      <c r="D19" s="36">
        <f t="shared" ref="D19" si="19">H19*1000</f>
        <v>19600</v>
      </c>
      <c r="E19" s="36">
        <f t="shared" ref="E19" si="20">I19*1000</f>
        <v>18600</v>
      </c>
      <c r="F19" s="37">
        <f t="shared" ref="F19" si="21">+E19-D19</f>
        <v>-1000</v>
      </c>
      <c r="H19">
        <v>19.600000000000001</v>
      </c>
      <c r="I19">
        <v>18.600000000000001</v>
      </c>
      <c r="J19">
        <v>-1</v>
      </c>
    </row>
    <row r="20" spans="2:12" x14ac:dyDescent="0.25">
      <c r="B20" s="42"/>
      <c r="C20" s="30"/>
      <c r="D20" s="31"/>
      <c r="E20" s="31"/>
      <c r="F20" s="31"/>
    </row>
    <row r="21" spans="2:12" x14ac:dyDescent="0.25">
      <c r="B21" s="42"/>
      <c r="C21" s="34" t="s">
        <v>96</v>
      </c>
      <c r="D21" s="32"/>
      <c r="E21" s="32"/>
      <c r="F21" s="32"/>
    </row>
    <row r="22" spans="2:12" x14ac:dyDescent="0.25">
      <c r="B22" s="42">
        <f>+B19+1</f>
        <v>16</v>
      </c>
      <c r="C22" s="23" t="s">
        <v>41</v>
      </c>
      <c r="D22" s="36">
        <f t="shared" ref="D22" si="22">H22*1000</f>
        <v>2300</v>
      </c>
      <c r="E22" s="36">
        <f t="shared" ref="E22" si="23">I22*1000</f>
        <v>2300</v>
      </c>
      <c r="F22" s="37">
        <f t="shared" ref="F22" si="24">+E22-D22</f>
        <v>0</v>
      </c>
      <c r="H22">
        <v>2.2999999999999998</v>
      </c>
      <c r="I22">
        <v>2.2999999999999998</v>
      </c>
      <c r="K22">
        <f>+H22</f>
        <v>2.2999999999999998</v>
      </c>
      <c r="L22">
        <f>+I22</f>
        <v>2.2999999999999998</v>
      </c>
    </row>
    <row r="23" spans="2:12" x14ac:dyDescent="0.25">
      <c r="B23" s="42">
        <f t="shared" si="0"/>
        <v>17</v>
      </c>
      <c r="C23" s="23" t="s">
        <v>0</v>
      </c>
      <c r="D23" s="35">
        <f>D6/D13</f>
        <v>0.10401785714285715</v>
      </c>
      <c r="E23" s="35">
        <f>E6/E13</f>
        <v>8.1117021276595744E-2</v>
      </c>
      <c r="F23" s="38">
        <f>+E23-D23</f>
        <v>-2.2900835866261404E-2</v>
      </c>
    </row>
    <row r="24" spans="2:12" ht="31.5" x14ac:dyDescent="0.25">
      <c r="B24" s="42">
        <f t="shared" si="0"/>
        <v>18</v>
      </c>
      <c r="C24" s="26" t="s">
        <v>24</v>
      </c>
      <c r="D24" s="35">
        <f>(D6+D12)/D22</f>
        <v>4.5006086956521747</v>
      </c>
      <c r="E24" s="35">
        <f>(E6+E12)/E22</f>
        <v>4.2136521739130437</v>
      </c>
      <c r="F24" s="38">
        <f>+E24-D24</f>
        <v>-0.286956521739131</v>
      </c>
    </row>
    <row r="25" spans="2:12" ht="16.5" x14ac:dyDescent="0.25">
      <c r="C25" s="41" t="s">
        <v>100</v>
      </c>
    </row>
  </sheetData>
  <pageMargins left="0.7" right="0.7" top="0.75" bottom="0.75" header="0.3" footer="0.3"/>
  <ignoredErrors>
    <ignoredError sqref="D12:E1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3026B-83F0-42F8-A5C8-AE1565A4CAF0}">
  <dimension ref="B1:P24"/>
  <sheetViews>
    <sheetView showGridLines="0" tabSelected="1" workbookViewId="0"/>
  </sheetViews>
  <sheetFormatPr defaultRowHeight="15" x14ac:dyDescent="0.25"/>
  <cols>
    <col min="2" max="2" width="4.140625" customWidth="1"/>
    <col min="3" max="3" width="39.5703125" customWidth="1"/>
    <col min="4" max="5" width="8.7109375" style="1"/>
    <col min="12" max="12" width="10.42578125" bestFit="1" customWidth="1"/>
    <col min="17" max="17" width="3.140625" bestFit="1" customWidth="1"/>
    <col min="18" max="18" width="38.7109375" bestFit="1" customWidth="1"/>
  </cols>
  <sheetData>
    <row r="1" spans="2:16" ht="18.75" thickBot="1" x14ac:dyDescent="0.4">
      <c r="B1" s="10" t="s">
        <v>23</v>
      </c>
      <c r="C1" s="10"/>
      <c r="D1" s="10"/>
      <c r="E1" s="10"/>
      <c r="F1" s="10"/>
    </row>
    <row r="2" spans="2:16" ht="15.75" thickTop="1" x14ac:dyDescent="0.25">
      <c r="D2" s="43" t="s">
        <v>20</v>
      </c>
      <c r="E2" s="43" t="s">
        <v>21</v>
      </c>
      <c r="F2" s="43" t="s">
        <v>22</v>
      </c>
    </row>
    <row r="3" spans="2:16" ht="18" x14ac:dyDescent="0.35">
      <c r="B3" s="60" t="s">
        <v>101</v>
      </c>
      <c r="C3" s="71" t="s">
        <v>97</v>
      </c>
      <c r="D3" s="5" t="s">
        <v>6</v>
      </c>
      <c r="E3" s="55" t="s">
        <v>7</v>
      </c>
      <c r="F3" s="60" t="s">
        <v>17</v>
      </c>
    </row>
    <row r="4" spans="2:16" ht="18.95" customHeight="1" x14ac:dyDescent="0.25">
      <c r="B4" s="66"/>
      <c r="C4" s="34" t="s">
        <v>95</v>
      </c>
      <c r="F4" s="64"/>
    </row>
    <row r="5" spans="2:16" x14ac:dyDescent="0.25">
      <c r="B5" s="67">
        <f>+B4+1</f>
        <v>1</v>
      </c>
      <c r="C5" s="46" t="s">
        <v>28</v>
      </c>
      <c r="D5" s="44">
        <f>H5*100</f>
        <v>30</v>
      </c>
      <c r="E5" s="56">
        <f>I5*100</f>
        <v>30</v>
      </c>
      <c r="F5" s="61">
        <f>+E5-D5</f>
        <v>0</v>
      </c>
      <c r="H5">
        <v>0.3</v>
      </c>
      <c r="I5">
        <v>0.3</v>
      </c>
      <c r="J5" s="20" t="s">
        <v>56</v>
      </c>
      <c r="K5" s="20" t="s">
        <v>53</v>
      </c>
      <c r="L5" s="20" t="s">
        <v>54</v>
      </c>
      <c r="M5" s="20" t="s">
        <v>55</v>
      </c>
      <c r="N5" s="20" t="s">
        <v>67</v>
      </c>
      <c r="O5" s="20" t="s">
        <v>68</v>
      </c>
      <c r="P5" s="20" t="s">
        <v>98</v>
      </c>
    </row>
    <row r="6" spans="2:16" x14ac:dyDescent="0.25">
      <c r="B6" s="68">
        <f t="shared" ref="B6:B23" si="0">+B5+1</f>
        <v>2</v>
      </c>
      <c r="C6" s="47" t="s">
        <v>86</v>
      </c>
      <c r="D6" s="36">
        <f>H6*1000</f>
        <v>2330</v>
      </c>
      <c r="E6" s="57">
        <f>I6*1000</f>
        <v>1830</v>
      </c>
      <c r="F6" s="62">
        <f>+E6-D6</f>
        <v>-500</v>
      </c>
      <c r="H6">
        <v>2.33</v>
      </c>
      <c r="I6" s="19">
        <v>1.83</v>
      </c>
      <c r="J6" s="21">
        <f>+H6</f>
        <v>2.33</v>
      </c>
      <c r="K6">
        <f>J19</f>
        <v>-1</v>
      </c>
      <c r="L6">
        <f>I14</f>
        <v>0.27500000000000002</v>
      </c>
      <c r="M6">
        <f>SUM(J16:J17)</f>
        <v>0.19999999999999998</v>
      </c>
      <c r="N6">
        <f>I18</f>
        <v>2.5000000000000001E-2</v>
      </c>
      <c r="O6" s="21">
        <f>+J6+K6+L6+M6+N6</f>
        <v>1.8299999999999998</v>
      </c>
      <c r="P6" s="19">
        <f>+O6-I6</f>
        <v>0</v>
      </c>
    </row>
    <row r="7" spans="2:16" x14ac:dyDescent="0.25">
      <c r="B7" s="67">
        <f t="shared" si="0"/>
        <v>3</v>
      </c>
      <c r="C7" s="48" t="s">
        <v>87</v>
      </c>
      <c r="D7" s="44">
        <f t="shared" ref="D7:E11" si="1">H7*1000</f>
        <v>16</v>
      </c>
      <c r="E7" s="56">
        <f t="shared" si="1"/>
        <v>16</v>
      </c>
      <c r="F7" s="61">
        <f t="shared" ref="F7:F14" si="2">+E7-D7</f>
        <v>0</v>
      </c>
      <c r="H7">
        <v>1.6E-2</v>
      </c>
      <c r="I7">
        <v>1.6E-2</v>
      </c>
      <c r="K7">
        <v>1.6E-2</v>
      </c>
      <c r="L7">
        <v>1.6E-2</v>
      </c>
    </row>
    <row r="8" spans="2:16" x14ac:dyDescent="0.25">
      <c r="B8" s="68">
        <f t="shared" si="0"/>
        <v>4</v>
      </c>
      <c r="C8" s="49" t="s">
        <v>88</v>
      </c>
      <c r="D8" s="36">
        <f t="shared" si="1"/>
        <v>0</v>
      </c>
      <c r="E8" s="57">
        <f t="shared" si="1"/>
        <v>0</v>
      </c>
      <c r="F8" s="62">
        <f t="shared" si="2"/>
        <v>0</v>
      </c>
      <c r="H8">
        <v>0</v>
      </c>
      <c r="I8">
        <v>0</v>
      </c>
      <c r="K8">
        <v>0</v>
      </c>
      <c r="L8">
        <v>0</v>
      </c>
    </row>
    <row r="9" spans="2:16" x14ac:dyDescent="0.25">
      <c r="B9" s="67">
        <f t="shared" si="0"/>
        <v>5</v>
      </c>
      <c r="C9" s="48" t="s">
        <v>89</v>
      </c>
      <c r="D9" s="44">
        <f t="shared" si="1"/>
        <v>159</v>
      </c>
      <c r="E9" s="56">
        <f t="shared" si="1"/>
        <v>159</v>
      </c>
      <c r="F9" s="61">
        <f t="shared" si="2"/>
        <v>0</v>
      </c>
      <c r="H9">
        <v>0.159</v>
      </c>
      <c r="I9">
        <v>0.159</v>
      </c>
      <c r="K9">
        <v>0.159</v>
      </c>
      <c r="L9">
        <v>0.159</v>
      </c>
    </row>
    <row r="10" spans="2:16" x14ac:dyDescent="0.25">
      <c r="B10" s="68">
        <f t="shared" si="0"/>
        <v>6</v>
      </c>
      <c r="C10" s="49" t="s">
        <v>90</v>
      </c>
      <c r="D10" s="36">
        <f t="shared" si="1"/>
        <v>2593.6000000000004</v>
      </c>
      <c r="E10" s="57">
        <f t="shared" si="1"/>
        <v>2513.6000000000004</v>
      </c>
      <c r="F10" s="62">
        <f t="shared" si="2"/>
        <v>-80</v>
      </c>
      <c r="H10">
        <f>3.242*0.8</f>
        <v>2.5936000000000003</v>
      </c>
      <c r="I10">
        <f>3.142*0.8</f>
        <v>2.5136000000000003</v>
      </c>
      <c r="J10">
        <f>+I10-H10</f>
        <v>-8.0000000000000071E-2</v>
      </c>
      <c r="K10">
        <v>2.593</v>
      </c>
      <c r="L10">
        <v>2.5129999999999999</v>
      </c>
    </row>
    <row r="11" spans="2:16" x14ac:dyDescent="0.25">
      <c r="B11" s="67">
        <f t="shared" si="0"/>
        <v>7</v>
      </c>
      <c r="C11" s="48" t="s">
        <v>91</v>
      </c>
      <c r="D11" s="44">
        <f t="shared" si="1"/>
        <v>5252.8</v>
      </c>
      <c r="E11" s="56">
        <f t="shared" si="1"/>
        <v>5172.8</v>
      </c>
      <c r="F11" s="61">
        <f t="shared" si="2"/>
        <v>-80</v>
      </c>
      <c r="H11">
        <f>6.566*0.8</f>
        <v>5.2528000000000006</v>
      </c>
      <c r="I11">
        <f>6.466*0.8</f>
        <v>5.1728000000000005</v>
      </c>
      <c r="J11">
        <f>+I11-H11</f>
        <v>-8.0000000000000071E-2</v>
      </c>
      <c r="K11">
        <v>5.2530000000000001</v>
      </c>
      <c r="L11">
        <v>5.173</v>
      </c>
    </row>
    <row r="12" spans="2:16" x14ac:dyDescent="0.25">
      <c r="B12" s="68">
        <f t="shared" si="0"/>
        <v>8</v>
      </c>
      <c r="C12" s="47" t="s">
        <v>102</v>
      </c>
      <c r="D12" s="36">
        <f>SUM(D7:D11)</f>
        <v>8021.4000000000005</v>
      </c>
      <c r="E12" s="57">
        <f>SUM(E7:E11)</f>
        <v>7861.4000000000005</v>
      </c>
      <c r="F12" s="62">
        <f t="shared" si="2"/>
        <v>-160</v>
      </c>
      <c r="H12">
        <f>SUM(H7:H11)</f>
        <v>8.0213999999999999</v>
      </c>
      <c r="I12">
        <f>SUM(I7:I11)</f>
        <v>7.8614000000000006</v>
      </c>
      <c r="J12">
        <f>+I12-H12</f>
        <v>-0.15999999999999925</v>
      </c>
      <c r="K12">
        <f>SUM(K7:K11)</f>
        <v>8.0210000000000008</v>
      </c>
      <c r="L12">
        <f>SUM(L7:L11)</f>
        <v>7.8609999999999998</v>
      </c>
    </row>
    <row r="13" spans="2:16" x14ac:dyDescent="0.25">
      <c r="B13" s="67">
        <f t="shared" si="0"/>
        <v>9</v>
      </c>
      <c r="C13" s="46" t="s">
        <v>92</v>
      </c>
      <c r="D13" s="44">
        <f t="shared" ref="D13:E14" si="3">H13*1000</f>
        <v>22400</v>
      </c>
      <c r="E13" s="56">
        <f t="shared" si="3"/>
        <v>21900</v>
      </c>
      <c r="F13" s="61">
        <f t="shared" si="2"/>
        <v>-500</v>
      </c>
      <c r="H13">
        <v>22.4</v>
      </c>
      <c r="I13">
        <f>+H13+O6-J6</f>
        <v>21.9</v>
      </c>
    </row>
    <row r="14" spans="2:16" x14ac:dyDescent="0.25">
      <c r="B14" s="68">
        <f t="shared" si="0"/>
        <v>10</v>
      </c>
      <c r="C14" s="47" t="s">
        <v>3</v>
      </c>
      <c r="D14" s="36">
        <f t="shared" si="3"/>
        <v>0</v>
      </c>
      <c r="E14" s="57">
        <f t="shared" si="3"/>
        <v>275</v>
      </c>
      <c r="F14" s="62">
        <f t="shared" si="2"/>
        <v>275</v>
      </c>
      <c r="I14">
        <v>0.27500000000000002</v>
      </c>
    </row>
    <row r="15" spans="2:16" x14ac:dyDescent="0.25">
      <c r="B15" s="67">
        <f t="shared" si="0"/>
        <v>11</v>
      </c>
      <c r="C15" s="46" t="s">
        <v>14</v>
      </c>
      <c r="D15" s="44"/>
      <c r="E15" s="58"/>
      <c r="F15" s="61"/>
    </row>
    <row r="16" spans="2:16" x14ac:dyDescent="0.25">
      <c r="B16" s="68">
        <f t="shared" si="0"/>
        <v>12</v>
      </c>
      <c r="C16" s="50" t="s">
        <v>93</v>
      </c>
      <c r="D16" s="36">
        <f t="shared" ref="D16:E19" si="4">H16*1000</f>
        <v>390</v>
      </c>
      <c r="E16" s="57">
        <f t="shared" si="4"/>
        <v>490</v>
      </c>
      <c r="F16" s="62">
        <f t="shared" ref="F16:F19" si="5">+E16-D16</f>
        <v>100</v>
      </c>
      <c r="H16" s="3">
        <v>0.39</v>
      </c>
      <c r="I16" s="3">
        <v>0.49</v>
      </c>
      <c r="J16">
        <f>+I16-H16</f>
        <v>9.9999999999999978E-2</v>
      </c>
    </row>
    <row r="17" spans="2:12" x14ac:dyDescent="0.25">
      <c r="B17" s="67">
        <f t="shared" si="0"/>
        <v>13</v>
      </c>
      <c r="C17" s="51" t="s">
        <v>94</v>
      </c>
      <c r="D17" s="44">
        <f t="shared" si="4"/>
        <v>0</v>
      </c>
      <c r="E17" s="56">
        <f t="shared" si="4"/>
        <v>100</v>
      </c>
      <c r="F17" s="61">
        <f t="shared" si="5"/>
        <v>100</v>
      </c>
      <c r="H17" s="3">
        <v>0</v>
      </c>
      <c r="I17" s="3">
        <v>0.1</v>
      </c>
      <c r="J17">
        <f>+I17-H17</f>
        <v>0.1</v>
      </c>
    </row>
    <row r="18" spans="2:12" x14ac:dyDescent="0.25">
      <c r="B18" s="68">
        <f t="shared" si="0"/>
        <v>14</v>
      </c>
      <c r="C18" s="52" t="s">
        <v>16</v>
      </c>
      <c r="D18" s="36">
        <f t="shared" si="4"/>
        <v>0</v>
      </c>
      <c r="E18" s="57">
        <f t="shared" si="4"/>
        <v>25</v>
      </c>
      <c r="F18" s="62">
        <f t="shared" si="5"/>
        <v>25</v>
      </c>
      <c r="I18">
        <v>2.5000000000000001E-2</v>
      </c>
    </row>
    <row r="19" spans="2:12" x14ac:dyDescent="0.25">
      <c r="B19" s="67">
        <f t="shared" si="0"/>
        <v>15</v>
      </c>
      <c r="C19" s="53" t="s">
        <v>48</v>
      </c>
      <c r="D19" s="44">
        <f t="shared" si="4"/>
        <v>19600</v>
      </c>
      <c r="E19" s="56">
        <f t="shared" si="4"/>
        <v>18600</v>
      </c>
      <c r="F19" s="61">
        <f t="shared" si="5"/>
        <v>-1000</v>
      </c>
      <c r="H19">
        <v>19.600000000000001</v>
      </c>
      <c r="I19">
        <v>18.600000000000001</v>
      </c>
      <c r="J19">
        <v>-1</v>
      </c>
    </row>
    <row r="20" spans="2:12" ht="18.95" customHeight="1" x14ac:dyDescent="0.25">
      <c r="B20" s="69"/>
      <c r="C20" s="34" t="s">
        <v>96</v>
      </c>
      <c r="D20" s="32"/>
      <c r="E20" s="32"/>
      <c r="F20" s="65"/>
    </row>
    <row r="21" spans="2:12" x14ac:dyDescent="0.25">
      <c r="B21" s="67">
        <f>+B19+1</f>
        <v>16</v>
      </c>
      <c r="C21" s="46" t="s">
        <v>41</v>
      </c>
      <c r="D21" s="44">
        <f t="shared" ref="D21:E21" si="6">H21*1000</f>
        <v>2300</v>
      </c>
      <c r="E21" s="56">
        <f t="shared" si="6"/>
        <v>2300</v>
      </c>
      <c r="F21" s="61">
        <f t="shared" ref="F21" si="7">+E21-D21</f>
        <v>0</v>
      </c>
      <c r="H21">
        <v>2.2999999999999998</v>
      </c>
      <c r="I21">
        <v>2.2999999999999998</v>
      </c>
      <c r="K21">
        <f>+H21</f>
        <v>2.2999999999999998</v>
      </c>
      <c r="L21">
        <f>+I21</f>
        <v>2.2999999999999998</v>
      </c>
    </row>
    <row r="22" spans="2:12" x14ac:dyDescent="0.25">
      <c r="B22" s="68">
        <f t="shared" si="0"/>
        <v>17</v>
      </c>
      <c r="C22" s="47" t="s">
        <v>0</v>
      </c>
      <c r="D22" s="72">
        <f>D6/D13</f>
        <v>0.10401785714285715</v>
      </c>
      <c r="E22" s="73">
        <f>E6/E13</f>
        <v>8.3561643835616442E-2</v>
      </c>
      <c r="F22" s="74">
        <f>+E22-D22</f>
        <v>-2.0456213307240706E-2</v>
      </c>
    </row>
    <row r="23" spans="2:12" ht="31.5" x14ac:dyDescent="0.25">
      <c r="B23" s="70">
        <f t="shared" si="0"/>
        <v>18</v>
      </c>
      <c r="C23" s="54" t="s">
        <v>24</v>
      </c>
      <c r="D23" s="45">
        <f>(D6+D12)/D21</f>
        <v>4.5006086956521747</v>
      </c>
      <c r="E23" s="59">
        <f>(E6+E12)/E21</f>
        <v>4.2136521739130437</v>
      </c>
      <c r="F23" s="63">
        <f>+E23-D23</f>
        <v>-0.286956521739131</v>
      </c>
    </row>
    <row r="24" spans="2:12" ht="16.5" x14ac:dyDescent="0.25">
      <c r="C24" s="41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BC38-7B12-4713-BD1B-7D3B84F2006E}">
  <dimension ref="C5:L18"/>
  <sheetViews>
    <sheetView showGridLines="0" workbookViewId="0">
      <selection activeCell="B5" sqref="B5:L18"/>
    </sheetView>
  </sheetViews>
  <sheetFormatPr defaultRowHeight="15" x14ac:dyDescent="0.25"/>
  <cols>
    <col min="2" max="2" width="0.7109375" customWidth="1"/>
  </cols>
  <sheetData>
    <row r="5" spans="3:12" ht="3" customHeight="1" x14ac:dyDescent="0.25"/>
    <row r="6" spans="3:12" x14ac:dyDescent="0.25">
      <c r="C6" s="82" t="s">
        <v>71</v>
      </c>
      <c r="D6" s="83"/>
      <c r="E6" s="83"/>
      <c r="F6" s="83"/>
      <c r="G6" s="83"/>
      <c r="H6" s="83"/>
      <c r="I6" s="83"/>
      <c r="J6" s="83"/>
      <c r="K6" s="83"/>
      <c r="L6" s="84"/>
    </row>
    <row r="7" spans="3:12" x14ac:dyDescent="0.25">
      <c r="C7" s="75" t="s">
        <v>72</v>
      </c>
      <c r="D7" s="76"/>
      <c r="E7" s="75" t="s">
        <v>76</v>
      </c>
      <c r="F7" s="76"/>
      <c r="G7" s="75" t="s">
        <v>85</v>
      </c>
      <c r="H7" s="76"/>
      <c r="I7" s="75" t="s">
        <v>79</v>
      </c>
      <c r="J7" s="76"/>
      <c r="K7" s="75" t="s">
        <v>82</v>
      </c>
      <c r="L7" s="76"/>
    </row>
    <row r="8" spans="3:12" x14ac:dyDescent="0.25">
      <c r="C8" s="77"/>
      <c r="D8" s="78"/>
      <c r="E8" s="77"/>
      <c r="F8" s="78"/>
      <c r="G8" s="77"/>
      <c r="H8" s="78"/>
      <c r="I8" s="77"/>
      <c r="J8" s="78"/>
      <c r="K8" s="77"/>
      <c r="L8" s="78"/>
    </row>
    <row r="9" spans="3:12" x14ac:dyDescent="0.25">
      <c r="C9" s="79"/>
      <c r="D9" s="80"/>
      <c r="E9" s="79"/>
      <c r="F9" s="80"/>
      <c r="G9" s="79"/>
      <c r="H9" s="80"/>
      <c r="I9" s="79"/>
      <c r="J9" s="80"/>
      <c r="K9" s="79"/>
      <c r="L9" s="80"/>
    </row>
    <row r="10" spans="3:12" ht="15" customHeight="1" x14ac:dyDescent="0.25">
      <c r="C10" s="75" t="s">
        <v>73</v>
      </c>
      <c r="D10" s="76"/>
      <c r="E10" s="81" t="s">
        <v>26</v>
      </c>
      <c r="F10" s="76"/>
      <c r="G10" s="75" t="s">
        <v>77</v>
      </c>
      <c r="H10" s="76"/>
      <c r="I10" s="75" t="s">
        <v>80</v>
      </c>
      <c r="J10" s="76"/>
      <c r="K10" s="75" t="s">
        <v>83</v>
      </c>
      <c r="L10" s="76"/>
    </row>
    <row r="11" spans="3:12" x14ac:dyDescent="0.25">
      <c r="C11" s="77"/>
      <c r="D11" s="78"/>
      <c r="E11" s="77"/>
      <c r="F11" s="78"/>
      <c r="G11" s="77"/>
      <c r="H11" s="78"/>
      <c r="I11" s="77"/>
      <c r="J11" s="78"/>
      <c r="K11" s="77"/>
      <c r="L11" s="78"/>
    </row>
    <row r="12" spans="3:12" x14ac:dyDescent="0.25">
      <c r="C12" s="79"/>
      <c r="D12" s="80"/>
      <c r="E12" s="79"/>
      <c r="F12" s="80"/>
      <c r="G12" s="79"/>
      <c r="H12" s="80"/>
      <c r="I12" s="79"/>
      <c r="J12" s="80"/>
      <c r="K12" s="79"/>
      <c r="L12" s="80"/>
    </row>
    <row r="13" spans="3:12" ht="15" customHeight="1" x14ac:dyDescent="0.25">
      <c r="C13" s="75" t="s">
        <v>74</v>
      </c>
      <c r="D13" s="76"/>
      <c r="E13" s="81" t="s">
        <v>47</v>
      </c>
      <c r="F13" s="76"/>
      <c r="G13" s="75" t="s">
        <v>77</v>
      </c>
      <c r="H13" s="76"/>
      <c r="I13" s="75" t="s">
        <v>80</v>
      </c>
      <c r="J13" s="76"/>
      <c r="K13" s="75" t="s">
        <v>83</v>
      </c>
      <c r="L13" s="76"/>
    </row>
    <row r="14" spans="3:12" x14ac:dyDescent="0.25">
      <c r="C14" s="77"/>
      <c r="D14" s="78"/>
      <c r="E14" s="77"/>
      <c r="F14" s="78"/>
      <c r="G14" s="77"/>
      <c r="H14" s="78"/>
      <c r="I14" s="77"/>
      <c r="J14" s="78"/>
      <c r="K14" s="77"/>
      <c r="L14" s="78"/>
    </row>
    <row r="15" spans="3:12" x14ac:dyDescent="0.25">
      <c r="C15" s="79"/>
      <c r="D15" s="80"/>
      <c r="E15" s="79"/>
      <c r="F15" s="80"/>
      <c r="G15" s="79"/>
      <c r="H15" s="80"/>
      <c r="I15" s="79"/>
      <c r="J15" s="80"/>
      <c r="K15" s="79"/>
      <c r="L15" s="80"/>
    </row>
    <row r="16" spans="3:12" ht="15" customHeight="1" x14ac:dyDescent="0.25">
      <c r="C16" s="75" t="s">
        <v>75</v>
      </c>
      <c r="D16" s="76"/>
      <c r="E16" s="75" t="s">
        <v>78</v>
      </c>
      <c r="F16" s="76"/>
      <c r="G16" s="75" t="s">
        <v>77</v>
      </c>
      <c r="H16" s="76"/>
      <c r="I16" s="75" t="s">
        <v>81</v>
      </c>
      <c r="J16" s="76"/>
      <c r="K16" s="75" t="s">
        <v>84</v>
      </c>
      <c r="L16" s="76"/>
    </row>
    <row r="17" spans="3:12" x14ac:dyDescent="0.25">
      <c r="C17" s="77"/>
      <c r="D17" s="78"/>
      <c r="E17" s="77"/>
      <c r="F17" s="78"/>
      <c r="G17" s="77"/>
      <c r="H17" s="78"/>
      <c r="I17" s="77"/>
      <c r="J17" s="78"/>
      <c r="K17" s="77"/>
      <c r="L17" s="78"/>
    </row>
    <row r="18" spans="3:12" x14ac:dyDescent="0.25">
      <c r="C18" s="79"/>
      <c r="D18" s="80"/>
      <c r="E18" s="79"/>
      <c r="F18" s="80"/>
      <c r="G18" s="79"/>
      <c r="H18" s="80"/>
      <c r="I18" s="79"/>
      <c r="J18" s="80"/>
      <c r="K18" s="79"/>
      <c r="L18" s="80"/>
    </row>
  </sheetData>
  <mergeCells count="21">
    <mergeCell ref="E7:F9"/>
    <mergeCell ref="E10:F12"/>
    <mergeCell ref="E13:F15"/>
    <mergeCell ref="E16:F18"/>
    <mergeCell ref="C6:L6"/>
    <mergeCell ref="C7:D9"/>
    <mergeCell ref="C10:D12"/>
    <mergeCell ref="C13:D15"/>
    <mergeCell ref="C16:D18"/>
    <mergeCell ref="G7:H9"/>
    <mergeCell ref="G10:H12"/>
    <mergeCell ref="G13:H15"/>
    <mergeCell ref="G16:H18"/>
    <mergeCell ref="K13:L15"/>
    <mergeCell ref="K16:L18"/>
    <mergeCell ref="I7:J9"/>
    <mergeCell ref="I10:J12"/>
    <mergeCell ref="I13:J15"/>
    <mergeCell ref="I16:J18"/>
    <mergeCell ref="K7:L9"/>
    <mergeCell ref="K10:L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Updated</vt:lpstr>
      <vt:lpstr>Updated (2)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Jignesh Gardi</dc:creator>
  <cp:lastModifiedBy>James Thomas</cp:lastModifiedBy>
  <dcterms:created xsi:type="dcterms:W3CDTF">2024-05-10T20:50:25Z</dcterms:created>
  <dcterms:modified xsi:type="dcterms:W3CDTF">2024-05-17T22:43:45Z</dcterms:modified>
</cp:coreProperties>
</file>